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EC52A5FD-0DD7-45FF-AC7D-631CF6ACA2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 1 - Probabilitas" sheetId="1" r:id="rId1"/>
    <sheet name="Soal 2 - Certainty Fac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  <c r="G6" i="2"/>
  <c r="H6" i="2" s="1"/>
  <c r="F5" i="2"/>
  <c r="G5" i="2"/>
  <c r="F4" i="2"/>
  <c r="F6" i="2" s="1"/>
  <c r="B7" i="1"/>
  <c r="D7" i="1" s="1"/>
  <c r="G7" i="1" s="1"/>
  <c r="D6" i="1"/>
  <c r="G6" i="1" s="1"/>
  <c r="C6" i="1"/>
  <c r="D5" i="1"/>
  <c r="G5" i="1" s="1"/>
  <c r="C5" i="1"/>
  <c r="H5" i="2" l="1"/>
  <c r="H4" i="2"/>
  <c r="C7" i="1"/>
</calcChain>
</file>

<file path=xl/sharedStrings.xml><?xml version="1.0" encoding="utf-8"?>
<sst xmlns="http://schemas.openxmlformats.org/spreadsheetml/2006/main" count="39" uniqueCount="34">
  <si>
    <t>TUGAS EXCEL – PROBABILITAS &amp; TEOREMA BAYES</t>
  </si>
  <si>
    <t>Data Laboratorium</t>
  </si>
  <si>
    <t>Jumlah Laptop</t>
  </si>
  <si>
    <t>Rumus Persentase</t>
  </si>
  <si>
    <t>Persentase</t>
  </si>
  <si>
    <t>Ringkasan</t>
  </si>
  <si>
    <t>Total laptop</t>
  </si>
  <si>
    <t>Kondisi</t>
  </si>
  <si>
    <t>Lemot</t>
  </si>
  <si>
    <t>Kena virus</t>
  </si>
  <si>
    <t>Normal</t>
  </si>
  <si>
    <t>Apakah P(Lemot) = 25% dapat dibuktikan dengan Teorema Bayes?</t>
  </si>
  <si>
    <t>Dengan data yang tersedia, P(Lemot) = 10/40 = 0,25 = 25% diperoleh langsung dari frekuensi empiris (probabilitas awal/prior), bukan dari perhitungan Bayes. Teorema Bayes baru diperlukan jika ada evidence tambahan E, misalnya suatu gejala/indikator. Tanpa data P(E|Lemot) dan P(E|bukan Lemot), probabilitas posterior P(Lemot|E) belum dapat dihitung secara numerik.</t>
  </si>
  <si>
    <t>Bentuk Teorema Bayes untuk kasus laptop</t>
  </si>
  <si>
    <t>P(Lemot | E) = [P(E | Lemot) × P(Lemot)] / [P(E | Lemot) × P(Lemot) + P(E | bukan Lemot) × P(bukan Lemot)]</t>
  </si>
  <si>
    <t>TUGAS EXCEL – CERTAINTY FACTOR (CF)</t>
  </si>
  <si>
    <t>Evidence</t>
  </si>
  <si>
    <t>Keterangan</t>
  </si>
  <si>
    <t>MB</t>
  </si>
  <si>
    <t>MD</t>
  </si>
  <si>
    <t>Rumus/Proses</t>
  </si>
  <si>
    <t>Nilai MB</t>
  </si>
  <si>
    <t>Nilai MD</t>
  </si>
  <si>
    <t>CF</t>
  </si>
  <si>
    <t>E1</t>
  </si>
  <si>
    <t>Bintik</t>
  </si>
  <si>
    <t>CF = MB - MD</t>
  </si>
  <si>
    <t>E2</t>
  </si>
  <si>
    <t>Panas</t>
  </si>
  <si>
    <t>E3</t>
  </si>
  <si>
    <t>Bintik + Panas</t>
  </si>
  <si>
    <t>Kombinasi evidence</t>
  </si>
  <si>
    <t>Perhitungan E3 = Bintik + Panas</t>
  </si>
  <si>
    <t>MB(E3) = MB(E1) + MB(E2) × (1 − MB(E1)) = 0,8 + 0,7 × (1 − 0,8) = 0,94.
MD(E3) = MD(E1) + MD(E2) × (1 − MD(E1)) = 0,01 + 0,05 × (1 − 0,01) = 0,0595.
CF(E3) = MB(E3) − MD(E3) = 0,94 − 0,0595 = 0,8805.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</si>
</sst>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theme="0"/>
      <name val="Carlito"/>
    </font>
    <font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2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7" xfId="0" applyNumberFormat="1" applyFont="1" applyFill="1" applyBorder="1" applyAlignment="1">
      <alignment horizontal="center"/>
    </xf>
    <xf numFmtId="10" fontId="0" fillId="0" borderId="5" xfId="0" applyNumberFormat="1" applyFont="1" applyFill="1" applyBorder="1"/>
    <xf numFmtId="10" fontId="0" fillId="0" borderId="8" xfId="0" applyNumberFormat="1" applyFont="1" applyFill="1" applyBorder="1"/>
    <xf numFmtId="0" fontId="2" fillId="2" borderId="1" xfId="0" applyNumberFormat="1" applyFont="1" applyFill="1" applyBorder="1"/>
    <xf numFmtId="0" fontId="2" fillId="2" borderId="3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0" fontId="0" fillId="0" borderId="12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2" fontId="0" fillId="0" borderId="10" xfId="0" applyNumberFormat="1" applyFont="1" applyFill="1" applyBorder="1"/>
    <xf numFmtId="2" fontId="0" fillId="0" borderId="0" xfId="0" applyNumberFormat="1" applyFont="1" applyFill="1" applyBorder="1"/>
    <xf numFmtId="164" fontId="0" fillId="0" borderId="10" xfId="0" applyNumberFormat="1" applyFont="1" applyFill="1" applyBorder="1"/>
    <xf numFmtId="164" fontId="0" fillId="0" borderId="11" xfId="0" applyNumberFormat="1" applyFont="1" applyFill="1" applyBorder="1"/>
    <xf numFmtId="164" fontId="0" fillId="0" borderId="0" xfId="0" applyNumberFormat="1" applyFont="1" applyFill="1" applyBorder="1"/>
    <xf numFmtId="164" fontId="0" fillId="0" borderId="13" xfId="0" applyNumberFormat="1" applyFont="1" applyFill="1" applyBorder="1"/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/>
    <xf numFmtId="0" fontId="0" fillId="3" borderId="0" xfId="0" applyFill="1"/>
    <xf numFmtId="0" fontId="4" fillId="3" borderId="0" xfId="0" applyFont="1" applyFill="1"/>
    <xf numFmtId="0" fontId="3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Persentase Kondisi 40 Laptop</a:t>
            </a:r>
          </a:p>
        </c:rich>
      </c:tx>
      <c:layout>
        <c:manualLayout>
          <c:xMode val="edge"/>
          <c:yMode val="edge"/>
          <c:x val="2.5069808534377907E-4"/>
          <c:y val="1.8656716417910446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v>Persentase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52-4CCF-955A-308C32CEBD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52-4CCF-955A-308C32CEBD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52-4CCF-955A-308C32CEBD85}"/>
              </c:ext>
            </c:extLst>
          </c:dPt>
          <c:cat>
            <c:strRef>
              <c:f>'Soal 1 - Probabilitas'!$F$5:$F$7</c:f>
              <c:strCache>
                <c:ptCount val="3"/>
                <c:pt idx="0">
                  <c:v>Lemot</c:v>
                </c:pt>
                <c:pt idx="1">
                  <c:v>Kena virus</c:v>
                </c:pt>
                <c:pt idx="2">
                  <c:v>Normal</c:v>
                </c:pt>
              </c:strCache>
            </c:strRef>
          </c:cat>
          <c:val>
            <c:numRef>
              <c:f>'Soal 1 - Probabilitas'!$G$5:$G$7</c:f>
              <c:numCache>
                <c:formatCode>0.00%</c:formatCode>
                <c:ptCount val="3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9-4F1D-9BFC-1BB8D3B6C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5</xdr:col>
      <xdr:colOff>259080</xdr:colOff>
      <xdr:row>31</xdr:row>
      <xdr:rowOff>114300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J9" sqref="J9"/>
    </sheetView>
  </sheetViews>
  <sheetFormatPr defaultRowHeight="13.8"/>
  <cols>
    <col min="1" max="1" width="24" customWidth="1"/>
    <col min="2" max="2" width="15" customWidth="1"/>
    <col min="3" max="3" width="22" customWidth="1"/>
    <col min="4" max="4" width="14" customWidth="1"/>
    <col min="5" max="5" width="3" customWidth="1"/>
    <col min="6" max="6" width="16" customWidth="1"/>
    <col min="7" max="7" width="15" customWidth="1"/>
  </cols>
  <sheetData>
    <row r="1" spans="1:7" ht="22.35" customHeight="1">
      <c r="A1" s="28" t="s">
        <v>0</v>
      </c>
      <c r="B1" s="31"/>
      <c r="C1" s="31"/>
      <c r="D1" s="31"/>
      <c r="E1" s="31"/>
      <c r="F1" s="31"/>
      <c r="G1" s="31"/>
    </row>
    <row r="3" spans="1:7">
      <c r="A3" s="29" t="s">
        <v>1</v>
      </c>
      <c r="B3" s="29" t="s">
        <v>2</v>
      </c>
      <c r="C3" s="29" t="s">
        <v>3</v>
      </c>
      <c r="D3" s="29" t="s">
        <v>4</v>
      </c>
      <c r="E3" s="32"/>
      <c r="F3" s="33" t="s">
        <v>5</v>
      </c>
      <c r="G3" s="33"/>
    </row>
    <row r="4" spans="1:7">
      <c r="A4" s="1" t="s">
        <v>6</v>
      </c>
      <c r="B4" s="8">
        <v>40</v>
      </c>
      <c r="C4" s="2"/>
      <c r="D4" s="3"/>
      <c r="F4" s="13" t="s">
        <v>7</v>
      </c>
      <c r="G4" s="14" t="s">
        <v>4</v>
      </c>
    </row>
    <row r="5" spans="1:7">
      <c r="A5" s="4" t="s">
        <v>8</v>
      </c>
      <c r="B5" s="9">
        <v>10</v>
      </c>
      <c r="C5" s="5">
        <f>B5/$B$4</f>
        <v>0.25</v>
      </c>
      <c r="D5" s="11">
        <f>B5/$B$4</f>
        <v>0.25</v>
      </c>
      <c r="F5" s="4" t="s">
        <v>8</v>
      </c>
      <c r="G5" s="11">
        <f>D5</f>
        <v>0.25</v>
      </c>
    </row>
    <row r="6" spans="1:7">
      <c r="A6" s="4" t="s">
        <v>9</v>
      </c>
      <c r="B6" s="9">
        <v>8</v>
      </c>
      <c r="C6" s="5">
        <f>B6/$B$4</f>
        <v>0.2</v>
      </c>
      <c r="D6" s="11">
        <f>B6/$B$4</f>
        <v>0.2</v>
      </c>
      <c r="F6" s="4" t="s">
        <v>9</v>
      </c>
      <c r="G6" s="11">
        <f>D6</f>
        <v>0.2</v>
      </c>
    </row>
    <row r="7" spans="1:7">
      <c r="A7" s="6" t="s">
        <v>10</v>
      </c>
      <c r="B7" s="10">
        <f>B4-B5-B6</f>
        <v>22</v>
      </c>
      <c r="C7" s="7">
        <f>B7/$B$4</f>
        <v>0.55000000000000004</v>
      </c>
      <c r="D7" s="12">
        <f>B7/$B$4</f>
        <v>0.55000000000000004</v>
      </c>
      <c r="F7" s="6" t="s">
        <v>10</v>
      </c>
      <c r="G7" s="12">
        <f>D7</f>
        <v>0.55000000000000004</v>
      </c>
    </row>
    <row r="10" spans="1:7">
      <c r="A10" s="30" t="s">
        <v>11</v>
      </c>
      <c r="B10" s="30"/>
      <c r="C10" s="30"/>
      <c r="D10" s="30"/>
      <c r="E10" s="30"/>
      <c r="F10" s="30"/>
      <c r="G10" s="30"/>
    </row>
    <row r="11" spans="1:7" ht="17.55" customHeight="1">
      <c r="A11" s="27" t="s">
        <v>12</v>
      </c>
      <c r="B11" s="27"/>
      <c r="C11" s="27"/>
      <c r="D11" s="27"/>
      <c r="E11" s="27"/>
      <c r="F11" s="27"/>
      <c r="G11" s="27"/>
    </row>
    <row r="12" spans="1:7" ht="17.55" customHeight="1">
      <c r="A12" s="27"/>
      <c r="B12" s="27"/>
      <c r="C12" s="27"/>
      <c r="D12" s="27"/>
      <c r="E12" s="27"/>
      <c r="F12" s="27"/>
      <c r="G12" s="27"/>
    </row>
    <row r="13" spans="1:7" ht="17.55" customHeight="1">
      <c r="A13" s="27"/>
      <c r="B13" s="27"/>
      <c r="C13" s="27"/>
      <c r="D13" s="27"/>
      <c r="E13" s="27"/>
      <c r="F13" s="27"/>
      <c r="G13" s="27"/>
    </row>
    <row r="14" spans="1:7" ht="17.55" customHeight="1">
      <c r="A14" s="27"/>
      <c r="B14" s="27"/>
      <c r="C14" s="27"/>
      <c r="D14" s="27"/>
      <c r="E14" s="27"/>
      <c r="F14" s="27"/>
      <c r="G14" s="27"/>
    </row>
    <row r="16" spans="1:7">
      <c r="A16" s="30" t="s">
        <v>13</v>
      </c>
      <c r="B16" s="30"/>
      <c r="C16" s="30"/>
      <c r="D16" s="30"/>
      <c r="E16" s="30"/>
      <c r="F16" s="30"/>
      <c r="G16" s="30"/>
    </row>
    <row r="17" spans="1:7" ht="17.55" customHeight="1">
      <c r="A17" s="26" t="s">
        <v>14</v>
      </c>
      <c r="B17" s="26"/>
      <c r="C17" s="26"/>
      <c r="D17" s="26"/>
      <c r="E17" s="26"/>
      <c r="F17" s="26"/>
      <c r="G17" s="26"/>
    </row>
    <row r="18" spans="1:7" ht="17.55" customHeight="1">
      <c r="A18" s="26"/>
      <c r="B18" s="26"/>
      <c r="C18" s="26"/>
      <c r="D18" s="26"/>
      <c r="E18" s="26"/>
      <c r="F18" s="26"/>
      <c r="G18" s="26"/>
    </row>
    <row r="19" spans="1:7" ht="17.55" customHeight="1">
      <c r="A19" s="26"/>
      <c r="B19" s="26"/>
      <c r="C19" s="26"/>
      <c r="D19" s="26"/>
      <c r="E19" s="26"/>
      <c r="F19" s="26"/>
      <c r="G19" s="26"/>
    </row>
  </sheetData>
  <mergeCells count="6">
    <mergeCell ref="A17:G19"/>
    <mergeCell ref="A1:G1"/>
    <mergeCell ref="F3:G3"/>
    <mergeCell ref="A10:G10"/>
    <mergeCell ref="A11:G14"/>
    <mergeCell ref="A16:G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="130" zoomScaleNormal="40" workbookViewId="0">
      <selection activeCell="D16" sqref="D16"/>
    </sheetView>
  </sheetViews>
  <sheetFormatPr defaultRowHeight="13.8"/>
  <cols>
    <col min="1" max="1" width="14" customWidth="1"/>
    <col min="2" max="2" width="22" customWidth="1"/>
    <col min="3" max="4" width="12" customWidth="1"/>
    <col min="5" max="5" width="24" customWidth="1"/>
    <col min="6" max="8" width="14" customWidth="1"/>
  </cols>
  <sheetData>
    <row r="1" spans="1:8" ht="22.35" customHeight="1">
      <c r="A1" s="28" t="s">
        <v>15</v>
      </c>
      <c r="B1" s="28"/>
      <c r="C1" s="28"/>
      <c r="D1" s="28"/>
      <c r="E1" s="28"/>
      <c r="F1" s="28"/>
      <c r="G1" s="28"/>
      <c r="H1" s="28"/>
    </row>
    <row r="3" spans="1:8">
      <c r="A3" s="29" t="s">
        <v>16</v>
      </c>
      <c r="B3" s="29" t="s">
        <v>17</v>
      </c>
      <c r="C3" s="29" t="s">
        <v>18</v>
      </c>
      <c r="D3" s="29" t="s">
        <v>19</v>
      </c>
      <c r="E3" s="29" t="s">
        <v>20</v>
      </c>
      <c r="F3" s="29" t="s">
        <v>21</v>
      </c>
      <c r="G3" s="29" t="s">
        <v>22</v>
      </c>
      <c r="H3" s="29" t="s">
        <v>23</v>
      </c>
    </row>
    <row r="4" spans="1:8">
      <c r="A4" s="15" t="s">
        <v>24</v>
      </c>
      <c r="B4" s="16" t="s">
        <v>25</v>
      </c>
      <c r="C4" s="20">
        <v>0.8</v>
      </c>
      <c r="D4" s="20">
        <v>0.01</v>
      </c>
      <c r="E4" s="16" t="s">
        <v>26</v>
      </c>
      <c r="F4" s="22">
        <f>C4</f>
        <v>0.8</v>
      </c>
      <c r="G4" s="22">
        <f>D4</f>
        <v>0.01</v>
      </c>
      <c r="H4" s="23">
        <f>F4-G4</f>
        <v>0.79</v>
      </c>
    </row>
    <row r="5" spans="1:8">
      <c r="A5" s="17" t="s">
        <v>27</v>
      </c>
      <c r="B5" s="5" t="s">
        <v>28</v>
      </c>
      <c r="C5" s="21">
        <v>0.7</v>
      </c>
      <c r="D5" s="21">
        <v>0.05</v>
      </c>
      <c r="E5" s="5" t="s">
        <v>26</v>
      </c>
      <c r="F5" s="24">
        <f>C5</f>
        <v>0.7</v>
      </c>
      <c r="G5" s="24">
        <f>D5</f>
        <v>0.05</v>
      </c>
      <c r="H5" s="23">
        <f>F5-G5</f>
        <v>0.64999999999999991</v>
      </c>
    </row>
    <row r="6" spans="1:8">
      <c r="A6" s="17" t="s">
        <v>29</v>
      </c>
      <c r="B6" s="5" t="s">
        <v>30</v>
      </c>
      <c r="C6" s="21"/>
      <c r="D6" s="21"/>
      <c r="E6" s="5" t="s">
        <v>31</v>
      </c>
      <c r="F6" s="24">
        <f>F4+F5*(1-F4)</f>
        <v>0.94</v>
      </c>
      <c r="G6" s="24">
        <f>G4+G5*(1-G4)</f>
        <v>5.9500000000000004E-2</v>
      </c>
      <c r="H6" s="25">
        <f>F6-G6</f>
        <v>0.88049999999999995</v>
      </c>
    </row>
    <row r="7" spans="1:8">
      <c r="A7" s="18"/>
      <c r="B7" s="18"/>
      <c r="C7" s="18"/>
      <c r="D7" s="18"/>
      <c r="E7" s="18"/>
      <c r="F7" s="19"/>
    </row>
    <row r="10" spans="1:8">
      <c r="A10" s="30" t="s">
        <v>32</v>
      </c>
      <c r="B10" s="30"/>
      <c r="C10" s="30"/>
      <c r="D10" s="30"/>
      <c r="E10" s="30"/>
      <c r="F10" s="30"/>
      <c r="G10" s="30"/>
      <c r="H10" s="30"/>
    </row>
    <row r="11" spans="1:8">
      <c r="A11" s="27" t="s">
        <v>33</v>
      </c>
      <c r="B11" s="27"/>
      <c r="C11" s="27"/>
      <c r="D11" s="27"/>
      <c r="E11" s="27"/>
      <c r="F11" s="27"/>
      <c r="G11" s="27"/>
      <c r="H11" s="27"/>
    </row>
    <row r="12" spans="1:8">
      <c r="A12" s="27"/>
      <c r="B12" s="27"/>
      <c r="C12" s="27"/>
      <c r="D12" s="27"/>
      <c r="E12" s="27"/>
      <c r="F12" s="27"/>
      <c r="G12" s="27"/>
      <c r="H12" s="27"/>
    </row>
    <row r="13" spans="1:8">
      <c r="A13" s="27"/>
      <c r="B13" s="27"/>
      <c r="C13" s="27"/>
      <c r="D13" s="27"/>
      <c r="E13" s="27"/>
      <c r="F13" s="27"/>
      <c r="G13" s="27"/>
      <c r="H13" s="27"/>
    </row>
    <row r="14" spans="1:8">
      <c r="A14" s="27"/>
      <c r="B14" s="27"/>
      <c r="C14" s="27"/>
      <c r="D14" s="27"/>
      <c r="E14" s="27"/>
      <c r="F14" s="27"/>
      <c r="G14" s="27"/>
      <c r="H14" s="27"/>
    </row>
    <row r="15" spans="1:8">
      <c r="A15" s="27"/>
      <c r="B15" s="27"/>
      <c r="C15" s="27"/>
      <c r="D15" s="27"/>
      <c r="E15" s="27"/>
      <c r="F15" s="27"/>
      <c r="G15" s="27"/>
      <c r="H15" s="27"/>
    </row>
  </sheetData>
  <mergeCells count="3">
    <mergeCell ref="A1:H1"/>
    <mergeCell ref="A10:H10"/>
    <mergeCell ref="A11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 1 - Probabilitas</vt:lpstr>
      <vt:lpstr>Soal 2 - Certainty Factor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 Ismudiah</cp:lastModifiedBy>
  <dcterms:modified xsi:type="dcterms:W3CDTF">2026-09-23T03:29:13Z</dcterms:modified>
</cp:coreProperties>
</file>